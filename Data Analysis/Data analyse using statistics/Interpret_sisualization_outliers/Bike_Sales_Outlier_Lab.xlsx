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Data analyse using statistics\Interpret_sisualization_outliers\"/>
    </mc:Choice>
  </mc:AlternateContent>
  <xr:revisionPtr revIDLastSave="0" documentId="13_ncr:1_{1C324D96-25E3-49D6-B76B-CED6DDDCB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2" r:id="rId1"/>
    <sheet name="Bike Sales" sheetId="1" r:id="rId2"/>
  </sheets>
  <calcPr calcId="191028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5" i="2" a="1"/>
  <c r="H5" i="2" s="1"/>
  <c r="G5" i="2" a="1"/>
  <c r="G5" i="2" s="1"/>
  <c r="G3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<sst xmlns="http://schemas.openxmlformats.org/spreadsheetml/2006/main" count="820" uniqueCount="163">
  <si>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</si>
  <si>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</si>
  <si>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</si>
  <si>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</si>
  <si>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</si>
  <si>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</si>
  <si>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</si>
  <si>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</si>
  <si>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</si>
  <si>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</si>
  <si>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</si>
  <si>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</si>
  <si>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</si>
  <si>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</si>
  <si>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</si>
  <si>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</si>
  <si>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</si>
  <si>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</si>
  <si>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</si>
  <si>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</si>
  <si>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</si>
  <si>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</si>
  <si>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</si>
  <si>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</si>
  <si>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</si>
  <si>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</si>
  <si>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</si>
  <si>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</si>
  <si>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</si>
  <si>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</si>
  <si>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</si>
  <si>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</si>
  <si>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</si>
  <si>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</si>
  <si>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</si>
  <si>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</si>
  <si>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</si>
  <si>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</si>
  <si>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</si>
  <si>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</si>
  <si>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</si>
  <si>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</si>
  <si>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</si>
  <si>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</si>
  <si>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</si>
  <si>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</si>
  <si>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</si>
  <si>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</si>
  <si>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</si>
  <si>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</si>
  <si>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</si>
  <si>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</si>
  <si>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</si>
  <si>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</si>
  <si>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</si>
  <si>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</si>
  <si>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</si>
  <si>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</si>
  <si>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</si>
  <si>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</si>
  <si>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</si>
  <si>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</si>
  <si>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</si>
  <si>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</si>
  <si>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</si>
  <si>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</si>
  <si>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</si>
  <si>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</si>
  <si>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</si>
  <si>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</si>
  <si>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</si>
  <si>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</si>
  <si>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</si>
  <si>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</si>
  <si>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</si>
  <si>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</si>
  <si>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</si>
  <si>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</si>
  <si>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</si>
  <si>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</si>
  <si>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</si>
  <si>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</si>
  <si>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</si>
  <si>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</si>
  <si>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</si>
  <si>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</si>
  <si>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</si>
  <si>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</si>
  <si>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</si>
  <si>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</si>
  <si>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</si>
  <si>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</si>
  <si>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</si>
  <si>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</si>
  <si>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</si>
  <si>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</si>
  <si>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</si>
  <si>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</si>
  <si>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</si>
  <si>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</si>
  <si>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</si>
  <si>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</si>
  <si>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</si>
  <si>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</si>
  <si>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</si>
  <si>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</si>
  <si>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</si>
  <si>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</si>
  <si>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</si>
  <si>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</si>
  <si>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</si>
  <si>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</si>
  <si>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</si>
  <si>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</si>
  <si>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</si>
  <si>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</si>
  <si>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</si>
  <si>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</si>
  <si>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</si>
  <si>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</si>
  <si>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</si>
  <si>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</si>
  <si>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</si>
  <si>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</si>
  <si>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</si>
  <si>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</si>
  <si>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</si>
  <si>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</si>
  <si>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</si>
  <si>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</si>
  <si>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</si>
  <si>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</si>
  <si>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</si>
  <si>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</si>
  <si>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</si>
  <si>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</si>
  <si>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</si>
  <si>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</si>
  <si>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</si>
  <si>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</si>
  <si>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</si>
  <si>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</si>
  <si>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</si>
  <si>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</si>
  <si>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</si>
  <si>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</si>
  <si>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</si>
  <si>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</si>
  <si>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</si>
  <si>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</si>
  <si>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</si>
  <si>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</si>
  <si>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</si>
  <si>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</si>
  <si>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</si>
  <si>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</si>
  <si>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Étiquettes de lignes</t>
  </si>
  <si>
    <t>Total général</t>
  </si>
  <si>
    <t>Somme de Order_Quantity</t>
  </si>
  <si>
    <t>la plus grande valeur</t>
  </si>
  <si>
    <t>la plus petite valeur</t>
  </si>
  <si>
    <t>les 6 plus petite</t>
  </si>
  <si>
    <t>les 5 plus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</si>
</sst>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6" fillId="33" borderId="10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Feuil1!$E$3</c:f>
              <c:strCache>
                <c:ptCount val="1"/>
                <c:pt idx="0">
                  <c:v>Somme de Order_Quantity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Feuil1!$D$4:$D$27</c:f>
              <c:numCache>
                <c:formatCode>m/d/yyyy</c:formatCode>
                <c:ptCount val="24"/>
                <c:pt idx="0">
                  <c:v>44549</c:v>
                </c:pt>
                <c:pt idx="1">
                  <c:v>44548</c:v>
                </c:pt>
                <c:pt idx="2">
                  <c:v>44550</c:v>
                </c:pt>
                <c:pt idx="3">
                  <c:v>44542</c:v>
                </c:pt>
                <c:pt idx="4">
                  <c:v>44538</c:v>
                </c:pt>
                <c:pt idx="5">
                  <c:v>44535</c:v>
                </c:pt>
                <c:pt idx="6">
                  <c:v>44552</c:v>
                </c:pt>
                <c:pt idx="7">
                  <c:v>44541</c:v>
                </c:pt>
                <c:pt idx="8">
                  <c:v>44540</c:v>
                </c:pt>
                <c:pt idx="9">
                  <c:v>44537</c:v>
                </c:pt>
                <c:pt idx="10">
                  <c:v>44536</c:v>
                </c:pt>
                <c:pt idx="11">
                  <c:v>44543</c:v>
                </c:pt>
                <c:pt idx="12">
                  <c:v>44551</c:v>
                </c:pt>
                <c:pt idx="13">
                  <c:v>44531</c:v>
                </c:pt>
                <c:pt idx="14">
                  <c:v>44546</c:v>
                </c:pt>
                <c:pt idx="15">
                  <c:v>44534</c:v>
                </c:pt>
                <c:pt idx="16">
                  <c:v>44554</c:v>
                </c:pt>
                <c:pt idx="17">
                  <c:v>44547</c:v>
                </c:pt>
                <c:pt idx="18">
                  <c:v>44533</c:v>
                </c:pt>
                <c:pt idx="19">
                  <c:v>44544</c:v>
                </c:pt>
                <c:pt idx="20">
                  <c:v>44532</c:v>
                </c:pt>
                <c:pt idx="21">
                  <c:v>44553</c:v>
                </c:pt>
                <c:pt idx="22">
                  <c:v>44539</c:v>
                </c:pt>
                <c:pt idx="23">
                  <c:v>44545</c:v>
                </c:pt>
              </c:numCache>
            </c:numRef>
          </c:xVal>
          <c:yVal>
            <c:numRef>
              <c:f>Feuil1!$E$4:$E$27</c:f>
              <c:numCache>
                <c:formatCode>General</c:formatCode>
                <c:ptCount val="24"/>
                <c:pt idx="0">
                  <c:v>43</c:v>
                </c:pt>
                <c:pt idx="1">
                  <c:v>19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9C-438A-815E-A1A9C92ED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857856"/>
        <c:axId val="373164656"/>
      </c:scatterChart>
      <c:valAx>
        <c:axId val="38085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3164656"/>
        <c:crosses val="autoZero"/>
        <c:crossBetween val="midCat"/>
      </c:valAx>
      <c:valAx>
        <c:axId val="3731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085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11</xdr:row>
      <xdr:rowOff>34290</xdr:rowOff>
    </xdr:from>
    <xdr:to>
      <xdr:col>12</xdr:col>
      <xdr:colOff>441960</xdr:colOff>
      <xdr:row>26</xdr:row>
      <xdr:rowOff>34290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AEC14DF-82F5-9E3E-7794-2C228D490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etoh komlan kévin" refreshedDate="46251.568179861111" createdVersion="8" refreshedVersion="8" minRefreshableVersion="3" recordCount="88" xr:uid="{18ED9524-25C3-4019-90C7-D2BCCFD5DBE5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11" count="5">
        <n v="4"/>
        <n v="1"/>
        <n v="2"/>
        <n v="3"/>
        <n v="11"/>
      </sharedItems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13926"/>
    </cacheField>
    <cacheField name="Revenue" numFmtId="164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s v="December"/>
    <n v="2021"/>
    <n v="39"/>
    <s v="Adults (35-64)"/>
    <s v="F"/>
    <s v="United States"/>
    <s v="California"/>
    <s v="Bikes"/>
    <s v="Mountain Bikes"/>
    <s v="Mountain-200 Black, 46"/>
    <x v="0"/>
    <n v="1252"/>
    <n v="2295"/>
    <n v="4172"/>
    <n v="5008"/>
    <n v="9180"/>
  </r>
  <r>
    <s v="000261695"/>
    <x v="0"/>
    <n v="1"/>
    <s v="December"/>
    <n v="2021"/>
    <n v="44"/>
    <s v="Adults (35-64)"/>
    <s v="M"/>
    <s v="United Kingdom"/>
    <s v="England"/>
    <s v="Bikes"/>
    <s v="Mountain Bikes"/>
    <s v="Mountain-200 Silver, 42"/>
    <x v="1"/>
    <n v="1266"/>
    <n v="2320"/>
    <n v="1054"/>
    <n v="1266"/>
    <n v="2320"/>
  </r>
  <r>
    <s v="000261697"/>
    <x v="1"/>
    <n v="2"/>
    <s v="December"/>
    <n v="2021"/>
    <n v="37"/>
    <s v="Adults (35-64)"/>
    <s v="M"/>
    <s v="United States"/>
    <s v="California"/>
    <s v="Bikes"/>
    <s v="Mountain Bikes"/>
    <s v="Mountain-400-W Silver, 46"/>
    <x v="2"/>
    <n v="420"/>
    <n v="769"/>
    <n v="698"/>
    <n v="840"/>
    <n v="1538"/>
  </r>
  <r>
    <s v="000261698"/>
    <x v="1"/>
    <n v="2"/>
    <s v="December"/>
    <n v="2021"/>
    <n v="31"/>
    <s v="Young Adults (25-34)"/>
    <s v="F"/>
    <s v="Australia"/>
    <s v="New South Wales"/>
    <s v="Bikes"/>
    <s v="Mountain Bikes"/>
    <s v="Mountain-400-W Silver, 42"/>
    <x v="1"/>
    <n v="420"/>
    <n v="769"/>
    <n v="349"/>
    <n v="420"/>
    <n v="769"/>
  </r>
  <r>
    <s v="000261699"/>
    <x v="2"/>
    <n v="3"/>
    <s v="December"/>
    <n v="2021"/>
    <n v="37"/>
    <s v="Adults (35-64)"/>
    <s v="F"/>
    <s v="United States"/>
    <s v="California"/>
    <s v="Bikes"/>
    <s v="Mountain Bikes"/>
    <s v="Mountain-200 Black, 46"/>
    <x v="2"/>
    <n v="1252"/>
    <n v="2295"/>
    <n v="2086"/>
    <n v="2504"/>
    <n v="4590"/>
  </r>
  <r>
    <s v="000261700"/>
    <x v="2"/>
    <n v="3"/>
    <s v="December"/>
    <n v="2021"/>
    <n v="24"/>
    <s v="Youth (&lt;25)"/>
    <s v="F"/>
    <s v="United Kingdom"/>
    <s v="England"/>
    <s v="Bikes"/>
    <s v="Mountain Bikes"/>
    <s v="Mountain-200 Black, 38"/>
    <x v="1"/>
    <n v="1252"/>
    <n v="2295"/>
    <n v="1043"/>
    <n v="1252"/>
    <n v="2295"/>
  </r>
  <r>
    <s v="000261701"/>
    <x v="2"/>
    <n v="3"/>
    <s v="December"/>
    <n v="2021"/>
    <n v="37"/>
    <s v="Adults (35-64)"/>
    <s v="M"/>
    <s v="United States"/>
    <s v="Washington"/>
    <s v="Bikes"/>
    <s v="Mountain Bikes"/>
    <s v="Mountain-200 Black, 46"/>
    <x v="1"/>
    <n v="1252"/>
    <n v="2295"/>
    <n v="1043"/>
    <n v="1252"/>
    <n v="2295"/>
  </r>
  <r>
    <s v="000261702"/>
    <x v="3"/>
    <n v="4"/>
    <s v="December"/>
    <n v="2021"/>
    <n v="31"/>
    <s v="Young Adults (25-34)"/>
    <s v="F"/>
    <s v="Australia"/>
    <s v="New South Wales"/>
    <s v="Bikes"/>
    <s v="Mountain Bikes"/>
    <s v="Mountain-400-W Silver, 42"/>
    <x v="0"/>
    <n v="420"/>
    <n v="769"/>
    <n v="1396"/>
    <n v="1680"/>
    <n v="3076"/>
  </r>
  <r>
    <s v="000261703"/>
    <x v="4"/>
    <n v="5"/>
    <s v="December"/>
    <n v="2021"/>
    <n v="39"/>
    <s v="Adults (35-64)"/>
    <s v="F"/>
    <s v="United States"/>
    <s v="California"/>
    <s v="Bikes"/>
    <s v="Mountain Bikes"/>
    <s v="Mountain-200 Black, 46"/>
    <x v="0"/>
    <n v="1252"/>
    <n v="2295"/>
    <n v="4172"/>
    <n v="5008"/>
    <n v="9180"/>
  </r>
  <r>
    <s v="000261704"/>
    <x v="4"/>
    <n v="5"/>
    <s v="December"/>
    <n v="2021"/>
    <n v="42"/>
    <s v="Adults (35-64)"/>
    <s v="M"/>
    <s v="Germany"/>
    <s v="Nordrhein-Westfalen"/>
    <s v="Bikes"/>
    <s v="Mountain Bikes"/>
    <s v="Mountain-200 Black, 38"/>
    <x v="0"/>
    <n v="1252"/>
    <n v="2295"/>
    <n v="4172"/>
    <n v="5008"/>
    <n v="9180"/>
  </r>
  <r>
    <s v="000261705"/>
    <x v="4"/>
    <n v="5"/>
    <s v="December"/>
    <n v="2021"/>
    <n v="35"/>
    <s v="Adults (35-64)"/>
    <s v="F"/>
    <s v="Australia"/>
    <s v="Queensland"/>
    <s v="Bikes"/>
    <s v="Mountain Bikes"/>
    <s v="Mountain-200 Silver, 38"/>
    <x v="1"/>
    <n v="1266"/>
    <n v="2320"/>
    <n v="1054"/>
    <n v="1266"/>
    <n v="2320"/>
  </r>
  <r>
    <s v="000261706"/>
    <x v="4"/>
    <n v="5"/>
    <s v="December"/>
    <n v="2021"/>
    <n v="37"/>
    <s v="Adults (35-64)"/>
    <s v="F"/>
    <s v="United States"/>
    <s v="California"/>
    <s v="Bikes"/>
    <s v="Mountain Bikes"/>
    <s v="Mountain-200 Black, 46"/>
    <x v="1"/>
    <n v="1252"/>
    <n v="2295"/>
    <n v="1043"/>
    <n v="1252"/>
    <n v="2295"/>
  </r>
  <r>
    <s v="000261707"/>
    <x v="5"/>
    <n v="6"/>
    <s v="December"/>
    <n v="2021"/>
    <n v="23"/>
    <s v="Youth (&lt;25)"/>
    <s v="M"/>
    <s v="United Kingdom"/>
    <s v="England"/>
    <s v="Bikes"/>
    <s v="Mountain Bikes"/>
    <s v="Mountain-400-W Silver, 46"/>
    <x v="3"/>
    <n v="420"/>
    <n v="769"/>
    <n v="1047"/>
    <n v="1260"/>
    <n v="2307"/>
  </r>
  <r>
    <s v="000261708"/>
    <x v="5"/>
    <n v="6"/>
    <s v="December"/>
    <n v="2021"/>
    <n v="27"/>
    <s v="Young Adults (25-34)"/>
    <s v="M"/>
    <s v="Canada"/>
    <s v="British Columbia"/>
    <s v="Bikes"/>
    <s v="Mountain Bikes"/>
    <s v="Mountain-200 Black, 46"/>
    <x v="1"/>
    <n v="1252"/>
    <n v="2295"/>
    <n v="1043"/>
    <n v="1252"/>
    <n v="2295"/>
  </r>
  <r>
    <s v="000261709"/>
    <x v="5"/>
    <n v="6"/>
    <s v="December"/>
    <n v="2021"/>
    <n v="36"/>
    <s v="Adults (35-64)"/>
    <s v="M"/>
    <s v="Australia"/>
    <s v="New South Wales"/>
    <s v="Bikes"/>
    <s v="Mountain Bikes"/>
    <s v="Mountain-200 Black, 42"/>
    <x v="1"/>
    <n v="1252"/>
    <n v="2295"/>
    <n v="1043"/>
    <n v="1252"/>
    <n v="2295"/>
  </r>
  <r>
    <s v="000261710"/>
    <x v="5"/>
    <n v="6"/>
    <s v="December"/>
    <n v="2021"/>
    <n v="47"/>
    <s v="Adults (35-64)"/>
    <s v="M"/>
    <s v="United Kingdom"/>
    <s v="England"/>
    <s v="Bikes"/>
    <s v="Mountain Bikes"/>
    <s v="Mountain-200 Silver, 38"/>
    <x v="1"/>
    <n v="1266"/>
    <n v="2320"/>
    <n v="1054"/>
    <n v="1266"/>
    <n v="2320"/>
  </r>
  <r>
    <s v="000261711"/>
    <x v="6"/>
    <n v="7"/>
    <s v="December"/>
    <n v="2021"/>
    <n v="30"/>
    <s v="Young Adults (25-34)"/>
    <s v="M"/>
    <s v="United States"/>
    <s v="California"/>
    <s v="Bikes"/>
    <s v="Mountain Bikes"/>
    <s v="Mountain-400-W Silver, 38"/>
    <x v="0"/>
    <n v="420"/>
    <n v="769"/>
    <n v="1396"/>
    <n v="1680"/>
    <n v="3076"/>
  </r>
  <r>
    <s v="000261712"/>
    <x v="6"/>
    <n v="7"/>
    <s v="December"/>
    <n v="2021"/>
    <n v="38"/>
    <s v="Adults (35-64)"/>
    <s v="M"/>
    <s v="United States"/>
    <s v="California"/>
    <s v="Bikes"/>
    <s v="Mountain Bikes"/>
    <s v="Mountain-200 Silver, 42"/>
    <x v="2"/>
    <n v="1266"/>
    <n v="2320"/>
    <n v="2108"/>
    <n v="2532"/>
    <n v="4640"/>
  </r>
  <r>
    <s v="000261713"/>
    <x v="7"/>
    <n v="8"/>
    <s v="December"/>
    <n v="2021"/>
    <n v="19"/>
    <s v="Youth (&lt;25)"/>
    <s v="F"/>
    <s v="Australia"/>
    <s v="New South Wales"/>
    <s v="Bikes"/>
    <s v="Mountain Bikes"/>
    <s v="Mountain-500 Silver, 42"/>
    <x v="0"/>
    <n v="308"/>
    <n v="565"/>
    <n v="1028"/>
    <n v="1232"/>
    <n v="2260"/>
  </r>
  <r>
    <s v="000261714"/>
    <x v="7"/>
    <n v="8"/>
    <s v="December"/>
    <n v="2021"/>
    <n v="30"/>
    <s v="Young Adults (25-34)"/>
    <s v="F"/>
    <s v="Canada"/>
    <s v="British Columbia"/>
    <s v="Bikes"/>
    <s v="Mountain Bikes"/>
    <s v="Mountain-200 Silver, 38"/>
    <x v="0"/>
    <n v="1266"/>
    <n v="2320"/>
    <n v="4216"/>
    <n v="5064"/>
    <n v="9280"/>
  </r>
  <r>
    <s v="000261715"/>
    <x v="7"/>
    <n v="8"/>
    <s v="December"/>
    <n v="2021"/>
    <n v="39"/>
    <s v="Adults (35-64)"/>
    <s v="F"/>
    <s v="United States"/>
    <s v="Oregon"/>
    <s v="Bikes"/>
    <s v="Mountain Bikes"/>
    <s v="Mountain-500 Black, 42"/>
    <x v="2"/>
    <n v="1252"/>
    <n v="2295"/>
    <n v="2086"/>
    <n v="2504"/>
    <n v="4590"/>
  </r>
  <r>
    <s v="000261716"/>
    <x v="7"/>
    <n v="8"/>
    <s v="December"/>
    <n v="2021"/>
    <n v="35"/>
    <s v="Adults (35-64)"/>
    <s v="F"/>
    <s v="United States"/>
    <s v="California"/>
    <s v="Bikes"/>
    <s v="Mountain Bikes"/>
    <s v="Mountain-500 Black, 42"/>
    <x v="1"/>
    <n v="295"/>
    <n v="540"/>
    <n v="245"/>
    <n v="295"/>
    <n v="540"/>
  </r>
  <r>
    <s v="000261717"/>
    <x v="8"/>
    <n v="9"/>
    <s v="December"/>
    <n v="2021"/>
    <n v="33"/>
    <s v="Young Adults (25-34)"/>
    <s v="F"/>
    <s v="Australia"/>
    <s v="Victoria"/>
    <s v="Bikes"/>
    <s v="Mountain Bikes"/>
    <s v="Mountain-100 Black, 38"/>
    <x v="2"/>
    <n v="1898"/>
    <n v="3375"/>
    <n v="2954"/>
    <n v="3796"/>
    <n v="6750"/>
  </r>
  <r>
    <s v="000261718"/>
    <x v="8"/>
    <n v="9"/>
    <s v="December"/>
    <n v="2021"/>
    <n v="41"/>
    <s v="Adults (35-64)"/>
    <s v="F"/>
    <s v="Germany"/>
    <s v="Hamburg"/>
    <s v="Bikes"/>
    <s v="Mountain Bikes"/>
    <s v="Mountain-200 Silver, 42"/>
    <x v="1"/>
    <n v="1266"/>
    <n v="2320"/>
    <n v="1054"/>
    <n v="1266"/>
    <n v="2320"/>
  </r>
  <r>
    <s v="000261719"/>
    <x v="9"/>
    <n v="10"/>
    <s v="December"/>
    <n v="2021"/>
    <n v="34"/>
    <s v="Young Adults (25-34)"/>
    <s v="F"/>
    <s v="United States"/>
    <s v="California"/>
    <s v="Bikes"/>
    <s v="Mountain Bikes"/>
    <s v="Mountain-200 Black, 42"/>
    <x v="2"/>
    <n v="1252"/>
    <n v="2295"/>
    <n v="2086"/>
    <n v="2504"/>
    <n v="4590"/>
  </r>
  <r>
    <s v="000261720"/>
    <x v="9"/>
    <n v="10"/>
    <s v="December"/>
    <n v="2021"/>
    <n v="40"/>
    <s v="Adults (35-64)"/>
    <s v="M"/>
    <s v="Australia"/>
    <s v="New South Wales"/>
    <s v="Bikes"/>
    <s v="Mountain Bikes"/>
    <s v="Mountain-200 Black, 42"/>
    <x v="2"/>
    <n v="1252"/>
    <n v="2295"/>
    <n v="2086"/>
    <n v="2504"/>
    <n v="4590"/>
  </r>
  <r>
    <s v="000261721"/>
    <x v="9"/>
    <n v="10"/>
    <s v="December"/>
    <n v="2021"/>
    <n v="26"/>
    <s v="Young Adults (25-34)"/>
    <s v="M"/>
    <s v="United Kingdom"/>
    <s v="England"/>
    <s v="Bikes"/>
    <s v="Mountain Bikes"/>
    <s v="Mountain-200 Black, 38"/>
    <x v="1"/>
    <n v="1252"/>
    <n v="2295"/>
    <n v="1043"/>
    <n v="1252"/>
    <n v="2295"/>
  </r>
  <r>
    <s v="000261722"/>
    <x v="9"/>
    <n v="10"/>
    <s v="December"/>
    <n v="2021"/>
    <n v="34"/>
    <s v="Young Adults (25-34)"/>
    <s v="M"/>
    <s v="United States"/>
    <s v="California"/>
    <s v="Bikes"/>
    <s v="Mountain Bikes"/>
    <s v="Mountain-500 Black, 40"/>
    <x v="1"/>
    <n v="295"/>
    <n v="540"/>
    <n v="245"/>
    <n v="295"/>
    <n v="540"/>
  </r>
  <r>
    <s v="000261723"/>
    <x v="9"/>
    <n v="10"/>
    <s v="December"/>
    <n v="2021"/>
    <n v="34"/>
    <s v="Young Adults (25-34)"/>
    <s v="F"/>
    <s v="United States"/>
    <s v="Washington"/>
    <s v="Bikes"/>
    <s v="Mountain Bikes"/>
    <s v="Mountain-100 Silver, 44"/>
    <x v="1"/>
    <n v="1912"/>
    <n v="3400"/>
    <n v="1488"/>
    <n v="1912"/>
    <n v="3400"/>
  </r>
  <r>
    <s v="000261724"/>
    <x v="9"/>
    <n v="10"/>
    <s v="December"/>
    <n v="2021"/>
    <n v="38"/>
    <s v="Adults (35-64)"/>
    <s v="M"/>
    <s v="Australia"/>
    <s v="New South Wales"/>
    <s v="Bikes"/>
    <s v="Mountain Bikes"/>
    <s v="Mountain-200 Black, 38"/>
    <x v="1"/>
    <n v="1252"/>
    <n v="2295"/>
    <n v="1043"/>
    <n v="1252"/>
    <n v="2295"/>
  </r>
  <r>
    <s v="000261725"/>
    <x v="10"/>
    <n v="11"/>
    <s v="December"/>
    <n v="2021"/>
    <n v="24"/>
    <s v="Youth (&lt;25)"/>
    <s v="F"/>
    <s v="France"/>
    <s v="Seine (Paris)"/>
    <s v="Bikes"/>
    <s v="Mountain Bikes"/>
    <s v="Mountain-200 Black, 38"/>
    <x v="3"/>
    <n v="1252"/>
    <n v="2295"/>
    <n v="3129"/>
    <n v="3756"/>
    <n v="6885"/>
  </r>
  <r>
    <s v="000261726"/>
    <x v="10"/>
    <n v="11"/>
    <s v="December"/>
    <n v="2021"/>
    <n v="41"/>
    <s v="Adults (35-64)"/>
    <s v="F"/>
    <s v="Australia"/>
    <s v="New South Wales"/>
    <s v="Bikes"/>
    <s v="Mountain Bikes"/>
    <s v="Mountain-400-W Silver, 38"/>
    <x v="2"/>
    <n v="420"/>
    <n v="769"/>
    <n v="698"/>
    <n v="840"/>
    <n v="1538"/>
  </r>
  <r>
    <s v="000261727"/>
    <x v="10"/>
    <n v="11"/>
    <s v="December"/>
    <n v="2021"/>
    <n v="27"/>
    <s v="Young Adults (25-34)"/>
    <s v="M"/>
    <s v="Canada"/>
    <s v="British Columbia"/>
    <s v="Bikes"/>
    <s v="Mountain Bikes"/>
    <s v="Mountain-200 Black, 46"/>
    <x v="1"/>
    <n v="1252"/>
    <n v="2295"/>
    <n v="1043"/>
    <n v="1252"/>
    <n v="2295"/>
  </r>
  <r>
    <s v="000261728"/>
    <x v="10"/>
    <n v="11"/>
    <s v="December"/>
    <n v="2021"/>
    <n v="37"/>
    <s v="Adults (35-64)"/>
    <s v="M"/>
    <s v="United States"/>
    <s v="California"/>
    <s v="Bikes"/>
    <s v="Mountain Bikes"/>
    <s v="Mountain-400-W Silver, 46"/>
    <x v="1"/>
    <n v="420"/>
    <n v="769"/>
    <n v="349"/>
    <n v="420"/>
    <n v="769"/>
  </r>
  <r>
    <s v="000261729"/>
    <x v="10"/>
    <n v="11"/>
    <s v="December"/>
    <n v="2021"/>
    <n v="38"/>
    <s v="Adults (35-64)"/>
    <s v="F"/>
    <s v="United States"/>
    <s v="California"/>
    <s v="Bikes"/>
    <s v="Mountain Bikes"/>
    <s v="Mountain-200 Silver, 38"/>
    <x v="1"/>
    <n v="1266"/>
    <n v="2320"/>
    <n v="1054"/>
    <n v="1266"/>
    <n v="2320"/>
  </r>
  <r>
    <s v="000261730"/>
    <x v="11"/>
    <n v="12"/>
    <s v="December"/>
    <n v="2021"/>
    <n v="36"/>
    <s v="Adults (35-64)"/>
    <s v="F"/>
    <s v="Australia"/>
    <s v="New South Wales"/>
    <s v="Bikes"/>
    <s v="Mountain Bikes"/>
    <s v="Mountain-200 Silver, 42"/>
    <x v="0"/>
    <n v="1266"/>
    <n v="2320"/>
    <n v="4216"/>
    <n v="5064"/>
    <n v="9280"/>
  </r>
  <r>
    <s v="000261731"/>
    <x v="11"/>
    <n v="12"/>
    <s v="December"/>
    <n v="2021"/>
    <n v="37"/>
    <s v="Adults (35-64)"/>
    <s v="M"/>
    <s v="United States"/>
    <s v="California"/>
    <s v="Bikes"/>
    <s v="Mountain Bikes"/>
    <s v="Mountain-400-W Silver, 46"/>
    <x v="0"/>
    <n v="420"/>
    <n v="769"/>
    <n v="1396"/>
    <n v="1680"/>
    <n v="3076"/>
  </r>
  <r>
    <s v="000261732"/>
    <x v="11"/>
    <n v="12"/>
    <s v="December"/>
    <n v="2021"/>
    <n v="34"/>
    <s v="Young Adults (25-34)"/>
    <s v="M"/>
    <s v="Australia"/>
    <s v="New South Wales"/>
    <s v="Bikes"/>
    <s v="Mountain Bikes"/>
    <s v="Mountain-200 Black, 38"/>
    <x v="2"/>
    <n v="1252"/>
    <n v="2295"/>
    <n v="2086"/>
    <n v="2504"/>
    <n v="4590"/>
  </r>
  <r>
    <s v="000261733"/>
    <x v="11"/>
    <n v="12"/>
    <s v="December"/>
    <n v="2021"/>
    <n v="35"/>
    <s v="Adults (35-64)"/>
    <s v="F"/>
    <s v="Australia"/>
    <s v="Victoria"/>
    <s v="Bikes"/>
    <s v="Mountain Bikes"/>
    <s v="Mountain-200 Silver, 42"/>
    <x v="1"/>
    <n v="1266"/>
    <n v="2320"/>
    <n v="1054"/>
    <n v="1266"/>
    <n v="2320"/>
  </r>
  <r>
    <s v="000261734"/>
    <x v="11"/>
    <n v="12"/>
    <s v="December"/>
    <n v="2021"/>
    <n v="38"/>
    <s v="Adults (35-64)"/>
    <s v="F"/>
    <s v="United States"/>
    <s v="Washington"/>
    <s v="Bikes"/>
    <s v="Mountain Bikes"/>
    <s v="Mountain-200 Silver, 42"/>
    <x v="1"/>
    <n v="1266"/>
    <n v="2320"/>
    <n v="1054"/>
    <n v="1266"/>
    <n v="2320"/>
  </r>
  <r>
    <s v="000261735"/>
    <x v="12"/>
    <n v="13"/>
    <s v="December"/>
    <n v="2021"/>
    <n v="32"/>
    <s v="Young Adults (25-34)"/>
    <s v="F"/>
    <s v="Australia"/>
    <s v="Queensland"/>
    <s v="Bikes"/>
    <s v="Mountain Bikes"/>
    <s v="Mountain-200 Silver, 42"/>
    <x v="3"/>
    <n v="1266"/>
    <n v="2320"/>
    <n v="3162"/>
    <n v="3798"/>
    <n v="6960"/>
  </r>
  <r>
    <s v="000261736"/>
    <x v="12"/>
    <n v="13"/>
    <s v="December"/>
    <n v="2021"/>
    <n v="40"/>
    <s v="Adults (35-64)"/>
    <s v="F"/>
    <s v="United States"/>
    <s v="California"/>
    <s v="Bikes"/>
    <s v="Mountain Bikes"/>
    <s v="Mountain-500 Silver, 40"/>
    <x v="1"/>
    <n v="308"/>
    <n v="565"/>
    <n v="257"/>
    <n v="308"/>
    <n v="565"/>
  </r>
  <r>
    <s v="000261737"/>
    <x v="12"/>
    <n v="13"/>
    <s v="December"/>
    <n v="2021"/>
    <n v="44"/>
    <s v="Adults (35-64)"/>
    <s v="F"/>
    <s v="United Kingdom"/>
    <s v="England"/>
    <s v="Bikes"/>
    <s v="Mountain Bikes"/>
    <s v="Mountain-200 Black, 38"/>
    <x v="1"/>
    <n v="1252"/>
    <n v="2295"/>
    <n v="1043"/>
    <n v="1252"/>
    <n v="2295"/>
  </r>
  <r>
    <s v="000261738"/>
    <x v="12"/>
    <n v="13"/>
    <s v="December"/>
    <n v="2021"/>
    <n v="49"/>
    <s v="Adults (35-64)"/>
    <s v="M"/>
    <s v="United Kingdom"/>
    <s v="England"/>
    <s v="Bikes"/>
    <s v="Mountain Bikes"/>
    <s v="Mountain-200 Black, 38"/>
    <x v="1"/>
    <n v="1252"/>
    <n v="2295"/>
    <n v="1043"/>
    <n v="1252"/>
    <n v="2295"/>
  </r>
  <r>
    <s v="000261739"/>
    <x v="13"/>
    <n v="14"/>
    <s v="December"/>
    <n v="2021"/>
    <n v="30"/>
    <s v="Young Adults (25-34)"/>
    <s v="F"/>
    <s v="United States"/>
    <s v="Washington"/>
    <s v="Bikes"/>
    <s v="Mountain Bikes"/>
    <s v="Mountain-200 Silver, 38"/>
    <x v="2"/>
    <n v="1266"/>
    <n v="2320"/>
    <n v="2108"/>
    <n v="2532"/>
    <n v="4640"/>
  </r>
  <r>
    <s v="000261740"/>
    <x v="13"/>
    <n v="14"/>
    <s v="December"/>
    <n v="2021"/>
    <n v="32"/>
    <s v="Young Adults (25-34)"/>
    <s v="M"/>
    <s v="United States"/>
    <s v="California"/>
    <s v="Bikes"/>
    <s v="Mountain Bikes"/>
    <s v="Mountain-200 Black, 46"/>
    <x v="1"/>
    <n v="1252"/>
    <n v="2295"/>
    <n v="1043"/>
    <n v="1252"/>
    <n v="2295"/>
  </r>
  <r>
    <s v="000261741"/>
    <x v="13"/>
    <n v="14"/>
    <s v="December"/>
    <n v="2021"/>
    <n v="32"/>
    <s v="Young Adults (25-34)"/>
    <s v="F"/>
    <s v="Australia"/>
    <s v="Victoria"/>
    <s v="Bikes"/>
    <s v="Mountain Bikes"/>
    <s v="Mountain-400-W Silver, 46"/>
    <x v="1"/>
    <n v="420"/>
    <n v="769"/>
    <n v="349"/>
    <n v="420"/>
    <n v="769"/>
  </r>
  <r>
    <s v="000261742"/>
    <x v="14"/>
    <n v="15"/>
    <s v="December"/>
    <n v="2021"/>
    <n v="29"/>
    <s v="Young Adults (25-34)"/>
    <s v="F"/>
    <s v="United States"/>
    <s v="California"/>
    <s v="Bikes"/>
    <s v="Mountain Bikes"/>
    <s v="Mountain-200 Silver, 42"/>
    <x v="1"/>
    <n v="1266"/>
    <n v="2320"/>
    <n v="1054"/>
    <n v="1266"/>
    <n v="2320"/>
  </r>
  <r>
    <s v="000261743"/>
    <x v="15"/>
    <n v="16"/>
    <s v="December"/>
    <n v="2021"/>
    <n v="33"/>
    <s v="Young Adults (25-34)"/>
    <s v="F"/>
    <s v="Australia"/>
    <s v="New South Wales"/>
    <s v="Bikes"/>
    <s v="Mountain Bikes"/>
    <s v="Mountain-200 Black, 38"/>
    <x v="2"/>
    <n v="1252"/>
    <n v="2295"/>
    <n v="2086"/>
    <n v="2504"/>
    <n v="4590"/>
  </r>
  <r>
    <s v="000261744"/>
    <x v="15"/>
    <n v="16"/>
    <s v="December"/>
    <n v="2021"/>
    <n v="38"/>
    <s v="Adults (35-64)"/>
    <s v="M"/>
    <s v="Australia"/>
    <s v="New South Wales"/>
    <s v="Bikes"/>
    <s v="Mountain Bikes"/>
    <s v="Mountain-200 Black, 38"/>
    <x v="2"/>
    <n v="1252"/>
    <n v="2295"/>
    <n v="2086"/>
    <n v="2504"/>
    <n v="4590"/>
  </r>
  <r>
    <s v="000261745"/>
    <x v="15"/>
    <n v="16"/>
    <s v="December"/>
    <n v="2021"/>
    <n v="27"/>
    <s v="Young Adults (25-34)"/>
    <s v="F"/>
    <s v="France"/>
    <s v="Seine et Marne"/>
    <s v="Bikes"/>
    <s v="Mountain Bikes"/>
    <s v="Mountain-200 Silver, 46"/>
    <x v="1"/>
    <n v="1266"/>
    <n v="2320"/>
    <n v="1054"/>
    <n v="1266"/>
    <n v="2320"/>
  </r>
  <r>
    <s v="000261746"/>
    <x v="16"/>
    <n v="17"/>
    <s v="December"/>
    <n v="2021"/>
    <n v="37"/>
    <s v="Adults (35-64)"/>
    <s v="F"/>
    <s v="United States"/>
    <s v="Washington"/>
    <s v="Bikes"/>
    <s v="Mountain Bikes"/>
    <s v="Mountain-200 Silver, 38"/>
    <x v="2"/>
    <n v="1266"/>
    <n v="2320"/>
    <n v="2108"/>
    <n v="2532"/>
    <n v="4640"/>
  </r>
  <r>
    <s v="000261747"/>
    <x v="16"/>
    <n v="17"/>
    <s v="December"/>
    <n v="2021"/>
    <n v="31"/>
    <s v="Young Adults (25-34)"/>
    <s v="M"/>
    <s v="Australia"/>
    <s v="New South Wales"/>
    <s v="Bikes"/>
    <s v="Mountain Bikes"/>
    <s v="Mountain-400-W Silver, 42"/>
    <x v="1"/>
    <n v="420"/>
    <n v="769"/>
    <n v="349"/>
    <n v="420"/>
    <n v="769"/>
  </r>
  <r>
    <s v="000261748"/>
    <x v="16"/>
    <n v="17"/>
    <s v="December"/>
    <n v="2021"/>
    <n v="42"/>
    <s v="Adults (35-64)"/>
    <s v="F"/>
    <s v="Germany"/>
    <s v="Nordrhein-Westfalen"/>
    <s v="Bikes"/>
    <s v="Mountain Bikes"/>
    <s v="Mountain-200 Silver, 46"/>
    <x v="1"/>
    <n v="1266"/>
    <n v="2320"/>
    <n v="1054"/>
    <n v="1266"/>
    <n v="2320"/>
  </r>
  <r>
    <s v="000261749"/>
    <x v="17"/>
    <n v="18"/>
    <s v="December"/>
    <n v="2021"/>
    <n v="35"/>
    <s v="Adults (35-64)"/>
    <s v="F"/>
    <s v="Australia"/>
    <s v="New South Wales"/>
    <s v="Bikes"/>
    <s v="Mountain Bikes"/>
    <s v="Mountain-500 Silver, 42"/>
    <x v="0"/>
    <n v="308"/>
    <n v="565"/>
    <n v="1028"/>
    <n v="1232"/>
    <n v="2260"/>
  </r>
  <r>
    <s v="000261750"/>
    <x v="17"/>
    <n v="18"/>
    <s v="December"/>
    <n v="2021"/>
    <n v="38"/>
    <s v="Adults (35-64)"/>
    <s v="F"/>
    <s v="Germany"/>
    <s v="Nordrhein-Westfalen"/>
    <s v="Bikes"/>
    <s v="Mountain Bikes"/>
    <s v="Mountain-200 Silver, 46"/>
    <x v="0"/>
    <n v="1266"/>
    <n v="2320"/>
    <n v="4216"/>
    <n v="5064"/>
    <n v="9280"/>
  </r>
  <r>
    <s v="000261751"/>
    <x v="17"/>
    <n v="18"/>
    <s v="December"/>
    <n v="2021"/>
    <n v="24"/>
    <s v="Youth (&lt;25)"/>
    <s v="F"/>
    <s v="France"/>
    <s v="Seine Saint Denis"/>
    <s v="Bikes"/>
    <s v="Mountain Bikes"/>
    <s v="Mountain-200 Silver, 38"/>
    <x v="3"/>
    <n v="1266"/>
    <n v="2320"/>
    <n v="3162"/>
    <n v="3798"/>
    <n v="6960"/>
  </r>
  <r>
    <s v="000261752"/>
    <x v="17"/>
    <n v="18"/>
    <s v="December"/>
    <n v="2021"/>
    <n v="26"/>
    <s v="Young Adults (25-34)"/>
    <s v="F"/>
    <s v="United Kingdom"/>
    <s v="England"/>
    <s v="Bikes"/>
    <s v="Mountain Bikes"/>
    <s v="Mountain-400-W Silver, 42"/>
    <x v="3"/>
    <n v="420"/>
    <n v="769"/>
    <n v="1047"/>
    <n v="1260"/>
    <n v="2307"/>
  </r>
  <r>
    <s v="000261753"/>
    <x v="17"/>
    <n v="18"/>
    <s v="December"/>
    <n v="2021"/>
    <n v="39"/>
    <s v="Adults (35-64)"/>
    <s v="M"/>
    <s v="United States"/>
    <s v="California"/>
    <s v="Bikes"/>
    <s v="Mountain Bikes"/>
    <s v="Mountain-200 Black, 42"/>
    <x v="3"/>
    <n v="1252"/>
    <n v="2295"/>
    <n v="3129"/>
    <n v="3756"/>
    <n v="6885"/>
  </r>
  <r>
    <s v="000261754"/>
    <x v="17"/>
    <n v="18"/>
    <s v="December"/>
    <n v="2021"/>
    <n v="26"/>
    <s v="Young Adults (25-34)"/>
    <s v="M"/>
    <s v="France"/>
    <s v="Seine (Paris)"/>
    <s v="Bikes"/>
    <s v="Mountain Bikes"/>
    <s v="Mountain-200 Black, 46"/>
    <x v="1"/>
    <n v="1252"/>
    <n v="2295"/>
    <n v="1043"/>
    <n v="1252"/>
    <n v="2295"/>
  </r>
  <r>
    <s v="000261755"/>
    <x v="17"/>
    <n v="18"/>
    <s v="December"/>
    <n v="2021"/>
    <n v="36"/>
    <s v="Adults (35-64)"/>
    <s v="M"/>
    <s v="United States"/>
    <s v="Washington"/>
    <s v="Bikes"/>
    <s v="Mountain Bikes"/>
    <s v="Mountain-200 Silver, 38"/>
    <x v="1"/>
    <n v="1266"/>
    <n v="2320"/>
    <n v="1054"/>
    <n v="1266"/>
    <n v="2320"/>
  </r>
  <r>
    <s v="000261756"/>
    <x v="18"/>
    <n v="19"/>
    <s v="December"/>
    <n v="2021"/>
    <n v="17"/>
    <s v="Youth (&lt;25)"/>
    <s v="M"/>
    <s v="France"/>
    <s v="Nord"/>
    <s v="Bikes"/>
    <s v="Mountain Bikes"/>
    <s v="Mountain-200 Silver, 46"/>
    <x v="0"/>
    <n v="1266"/>
    <n v="2320"/>
    <n v="4216"/>
    <n v="5064"/>
    <n v="9280"/>
  </r>
  <r>
    <s v="000261757"/>
    <x v="18"/>
    <n v="19"/>
    <s v="December"/>
    <n v="2021"/>
    <n v="19"/>
    <s v="Youth (&lt;25)"/>
    <s v="F"/>
    <s v="Australia"/>
    <s v="Victoria"/>
    <s v="Bikes"/>
    <s v="Mountain Bikes"/>
    <s v="Mountain-500 Black, 44"/>
    <x v="0"/>
    <n v="295"/>
    <n v="540"/>
    <n v="980"/>
    <n v="1180"/>
    <n v="2160"/>
  </r>
  <r>
    <s v="000261758"/>
    <x v="18"/>
    <n v="19"/>
    <s v="December"/>
    <n v="2021"/>
    <n v="25"/>
    <s v="Young Adults (25-34)"/>
    <s v="M"/>
    <s v="France"/>
    <s v="Seine (Paris)"/>
    <s v="Bikes"/>
    <s v="Mountain Bikes"/>
    <s v="Mountain-200 Black, 38"/>
    <x v="0"/>
    <n v="1252"/>
    <n v="2295"/>
    <n v="4172"/>
    <n v="5008"/>
    <n v="9180"/>
  </r>
  <r>
    <s v="000261759"/>
    <x v="18"/>
    <n v="19"/>
    <s v="December"/>
    <n v="2021"/>
    <n v="35"/>
    <s v="Adults (35-64)"/>
    <s v="F"/>
    <s v="United States"/>
    <s v="Oregon"/>
    <s v="Bikes"/>
    <s v="Mountain Bikes"/>
    <s v="Mountain-100 Black, 48"/>
    <x v="0"/>
    <n v="1898"/>
    <n v="3375"/>
    <n v="5908"/>
    <n v="7592"/>
    <n v="13500"/>
  </r>
  <r>
    <s v="000261760"/>
    <x v="18"/>
    <n v="19"/>
    <s v="December"/>
    <n v="2021"/>
    <n v="37"/>
    <s v="Adults (35-64)"/>
    <s v="M"/>
    <s v="United States"/>
    <s v="Oregon"/>
    <s v="Bikes"/>
    <s v="Mountain Bikes"/>
    <s v="Mountain-200 Black, 38"/>
    <x v="0"/>
    <n v="1252"/>
    <n v="2295"/>
    <n v="4172"/>
    <n v="5008"/>
    <n v="9180"/>
  </r>
  <r>
    <s v="000261761"/>
    <x v="18"/>
    <n v="19"/>
    <s v="December"/>
    <n v="2021"/>
    <n v="39"/>
    <s v="Adults (35-64)"/>
    <s v="F"/>
    <s v="United States"/>
    <s v="California"/>
    <s v="Bikes"/>
    <s v="Mountain Bikes"/>
    <s v="Mountain-200 Black, 46"/>
    <x v="0"/>
    <n v="1252"/>
    <n v="2295"/>
    <n v="4172"/>
    <n v="5008"/>
    <n v="9180"/>
  </r>
  <r>
    <s v="000261762"/>
    <x v="18"/>
    <n v="19"/>
    <s v="December"/>
    <n v="2021"/>
    <n v="63"/>
    <s v="Adults (35-64)"/>
    <s v="F"/>
    <s v="Australia"/>
    <s v="Queensland"/>
    <s v="Bikes"/>
    <s v="Mountain Bikes"/>
    <s v="Mountain-200 Black, 46"/>
    <x v="0"/>
    <n v="1252"/>
    <n v="2295"/>
    <n v="4172"/>
    <n v="5008"/>
    <n v="9180"/>
  </r>
  <r>
    <s v="000261763"/>
    <x v="18"/>
    <n v="19"/>
    <s v="December"/>
    <n v="2021"/>
    <n v="18"/>
    <s v="Youth (&lt;25)"/>
    <s v="M"/>
    <s v="Australia"/>
    <s v="South Australia"/>
    <s v="Bikes"/>
    <s v="Mountain Bikes"/>
    <s v="Mountain-500 Black, 40"/>
    <x v="2"/>
    <n v="295"/>
    <n v="540"/>
    <n v="490"/>
    <n v="590"/>
    <n v="1080"/>
  </r>
  <r>
    <s v="000261764"/>
    <x v="18"/>
    <n v="19"/>
    <s v="December"/>
    <n v="2021"/>
    <n v="56"/>
    <s v="Adults (35-64)"/>
    <s v="F"/>
    <s v="Germany"/>
    <s v="Hessen"/>
    <s v="Bikes"/>
    <s v="Mountain Bikes"/>
    <s v="Mountain-200 Black, 46"/>
    <x v="2"/>
    <n v="1252"/>
    <n v="2295"/>
    <n v="2086"/>
    <n v="2504"/>
    <n v="4590"/>
  </r>
  <r>
    <s v="000261765"/>
    <x v="18"/>
    <n v="19"/>
    <s v="December"/>
    <n v="2021"/>
    <n v="39"/>
    <s v="Adults (35-64)"/>
    <s v="F"/>
    <s v="United States"/>
    <s v="Washington"/>
    <s v="Bikes"/>
    <s v="Mountain Bikes"/>
    <s v="Mountain-200 Silver, 38"/>
    <x v="4"/>
    <n v="1266"/>
    <n v="2320"/>
    <n v="1054"/>
    <n v="13926"/>
    <n v="25520"/>
  </r>
  <r>
    <s v="000261766"/>
    <x v="19"/>
    <n v="20"/>
    <s v="December"/>
    <n v="2021"/>
    <n v="33"/>
    <s v="Young Adults (25-34)"/>
    <s v="F"/>
    <s v="Australia"/>
    <s v="Victoria"/>
    <s v="Bikes"/>
    <s v="Mountain Bikes"/>
    <s v="Mountain-100 Black, 38"/>
    <x v="0"/>
    <n v="1898"/>
    <n v="3375"/>
    <n v="5908"/>
    <n v="7592"/>
    <n v="13500"/>
  </r>
  <r>
    <s v="000261767"/>
    <x v="19"/>
    <n v="20"/>
    <s v="December"/>
    <n v="2021"/>
    <n v="57"/>
    <s v="Adults (35-64)"/>
    <s v="M"/>
    <s v="Australia"/>
    <s v="Queensland"/>
    <s v="Bikes"/>
    <s v="Mountain Bikes"/>
    <s v="Mountain-200 Black, 46"/>
    <x v="0"/>
    <n v="1252"/>
    <n v="2295"/>
    <n v="4172"/>
    <n v="5008"/>
    <n v="9180"/>
  </r>
  <r>
    <s v="000261768"/>
    <x v="19"/>
    <n v="20"/>
    <s v="December"/>
    <n v="2021"/>
    <n v="29"/>
    <s v="Young Adults (25-34)"/>
    <s v="M"/>
    <s v="Canada"/>
    <s v="British Columbia"/>
    <s v="Bikes"/>
    <s v="Mountain Bikes"/>
    <s v="Mountain-500 Black, 52"/>
    <x v="3"/>
    <n v="295"/>
    <n v="540"/>
    <n v="735"/>
    <n v="885"/>
    <n v="1620"/>
  </r>
  <r>
    <s v="000261769"/>
    <x v="19"/>
    <n v="20"/>
    <s v="December"/>
    <n v="2021"/>
    <n v="35"/>
    <s v="Adults (35-64)"/>
    <s v="F"/>
    <s v="Australia"/>
    <s v="Queensland"/>
    <s v="Bikes"/>
    <s v="Mountain Bikes"/>
    <s v="Mountain-200 Silver, 38"/>
    <x v="1"/>
    <n v="1266"/>
    <n v="2320"/>
    <n v="1054"/>
    <n v="1266"/>
    <n v="2320"/>
  </r>
  <r>
    <s v="000261770"/>
    <x v="19"/>
    <n v="20"/>
    <s v="December"/>
    <n v="2021"/>
    <n v="35"/>
    <s v="Adults (35-64)"/>
    <s v="M"/>
    <s v="Australia"/>
    <s v="Victoria"/>
    <s v="Bikes"/>
    <s v="Mountain Bikes"/>
    <s v="Mountain-200 Silver, 38"/>
    <x v="1"/>
    <n v="1266"/>
    <n v="2320"/>
    <n v="1054"/>
    <n v="1266"/>
    <n v="2320"/>
  </r>
  <r>
    <s v="000261771"/>
    <x v="20"/>
    <n v="21"/>
    <s v="December"/>
    <n v="2021"/>
    <n v="26"/>
    <s v="Young Adults (25-34)"/>
    <s v="M"/>
    <s v="France"/>
    <s v="Somme"/>
    <s v="Bikes"/>
    <s v="Mountain Bikes"/>
    <s v="Mountain-200 Silver, 38"/>
    <x v="3"/>
    <n v="1266"/>
    <n v="2320"/>
    <n v="3162"/>
    <n v="3798"/>
    <n v="6960"/>
  </r>
  <r>
    <s v="000261772"/>
    <x v="20"/>
    <n v="21"/>
    <s v="December"/>
    <n v="2021"/>
    <n v="23"/>
    <s v="Youth (&lt;25)"/>
    <s v="M"/>
    <s v="United Kingdom"/>
    <s v="England"/>
    <s v="Bikes"/>
    <s v="Mountain Bikes"/>
    <s v="Mountain-400-W Silver, 46"/>
    <x v="2"/>
    <n v="420"/>
    <n v="769"/>
    <n v="698"/>
    <n v="840"/>
    <n v="1538"/>
  </r>
  <r>
    <s v="000261773"/>
    <x v="21"/>
    <n v="22"/>
    <s v="December"/>
    <n v="2021"/>
    <n v="30"/>
    <s v="Young Adults (25-34)"/>
    <s v="F"/>
    <s v="United States"/>
    <s v="Washington"/>
    <s v="Bikes"/>
    <s v="Mountain Bikes"/>
    <s v="Mountain-200 Silver, 38"/>
    <x v="3"/>
    <n v="1266"/>
    <n v="2320"/>
    <n v="3162"/>
    <n v="3798"/>
    <n v="6960"/>
  </r>
  <r>
    <s v="000261774"/>
    <x v="21"/>
    <n v="22"/>
    <s v="December"/>
    <n v="2021"/>
    <n v="41"/>
    <s v="Adults (35-64)"/>
    <s v="M"/>
    <s v="United States"/>
    <s v="California"/>
    <s v="Bikes"/>
    <s v="Mountain Bikes"/>
    <s v="Mountain-200 Black, 42"/>
    <x v="3"/>
    <n v="1252"/>
    <n v="2295"/>
    <n v="3129"/>
    <n v="3756"/>
    <n v="6885"/>
  </r>
  <r>
    <s v="000261775"/>
    <x v="21"/>
    <n v="22"/>
    <s v="December"/>
    <n v="2021"/>
    <n v="19"/>
    <s v="Youth (&lt;25)"/>
    <s v="F"/>
    <s v="Australia"/>
    <s v="New South Wales"/>
    <s v="Bikes"/>
    <s v="Mountain Bikes"/>
    <s v="Mountain-500 Silver, 42"/>
    <x v="1"/>
    <n v="308"/>
    <n v="565"/>
    <n v="257"/>
    <n v="308"/>
    <n v="565"/>
  </r>
  <r>
    <s v="000261776"/>
    <x v="21"/>
    <n v="22"/>
    <s v="December"/>
    <n v="2021"/>
    <n v="25"/>
    <s v="Young Adults (25-34)"/>
    <s v="M"/>
    <s v="France"/>
    <s v="Seine (Paris)"/>
    <s v="Bikes"/>
    <s v="Mountain Bikes"/>
    <s v="Mountain-200 Black, 38"/>
    <x v="1"/>
    <n v="1252"/>
    <n v="2295"/>
    <n v="1043"/>
    <n v="1252"/>
    <n v="2295"/>
  </r>
  <r>
    <s v="000261777"/>
    <x v="21"/>
    <n v="22"/>
    <s v="December"/>
    <n v="2021"/>
    <n v="27"/>
    <s v="Young Adults (25-34)"/>
    <s v="F"/>
    <s v="Canada"/>
    <s v="British Columbia"/>
    <s v="Bikes"/>
    <s v="Mountain Bikes"/>
    <s v="Mountain-200 Black, 46"/>
    <x v="1"/>
    <n v="1252"/>
    <n v="2295"/>
    <n v="1043"/>
    <n v="1252"/>
    <n v="2295"/>
  </r>
  <r>
    <s v="000261778"/>
    <x v="21"/>
    <n v="22"/>
    <s v="December"/>
    <n v="2021"/>
    <n v="41"/>
    <s v="Adults (35-64)"/>
    <s v="M"/>
    <s v="Germany"/>
    <s v="Hessen"/>
    <s v="Bikes"/>
    <s v="Mountain Bikes"/>
    <s v="Mountain-200 Silver, 38"/>
    <x v="1"/>
    <n v="1266"/>
    <n v="2320"/>
    <n v="1054"/>
    <n v="1266"/>
    <n v="2320"/>
  </r>
  <r>
    <s v="000261779"/>
    <x v="22"/>
    <n v="23"/>
    <s v="December"/>
    <n v="2021"/>
    <n v="30"/>
    <s v="Young Adults (25-34)"/>
    <s v="F"/>
    <s v="United States"/>
    <s v="Oregon"/>
    <s v="Bikes"/>
    <s v="Mountain Bikes"/>
    <s v="Mountain-200 Silver, 42"/>
    <x v="1"/>
    <n v="1266"/>
    <n v="2320"/>
    <n v="1054"/>
    <n v="1266"/>
    <n v="2320"/>
  </r>
  <r>
    <s v="000261780"/>
    <x v="22"/>
    <n v="23"/>
    <s v="December"/>
    <n v="2021"/>
    <n v="31"/>
    <s v="Young Adults (25-34)"/>
    <s v="F"/>
    <s v="Canada"/>
    <s v="British Columbia"/>
    <s v="Bikes"/>
    <s v="Mountain Bikes"/>
    <s v="Mountain-200 Black, 42"/>
    <x v="1"/>
    <n v="1252"/>
    <n v="2295"/>
    <n v="1043"/>
    <n v="1252"/>
    <n v="2295"/>
  </r>
  <r>
    <s v="000261781"/>
    <x v="22"/>
    <n v="23"/>
    <s v="December"/>
    <n v="2021"/>
    <n v="35"/>
    <s v="Adults (35-64)"/>
    <s v="F"/>
    <s v="United States"/>
    <s v="California"/>
    <s v="Bikes"/>
    <s v="Mountain Bikes"/>
    <s v="Mountain-500 Black, 42"/>
    <x v="1"/>
    <n v="295"/>
    <n v="540"/>
    <n v="245"/>
    <n v="295"/>
    <n v="540"/>
  </r>
  <r>
    <s v="000261782"/>
    <x v="23"/>
    <n v="24"/>
    <s v="December"/>
    <n v="2021"/>
    <n v="38"/>
    <s v="Adults (35-64)"/>
    <s v="M"/>
    <s v="Australia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4FBDD-0CE7-44B9-A6A4-5C5759329CA1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28" firstHeaderRow="1" firstDataRow="1" firstDataCol="1"/>
  <pivotFields count="19">
    <pivotField showAll="0"/>
    <pivotField axis="axisRow" numFmtId="14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omme de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0C0F-E9DD-4559-B201-6DD50ADCA0C6}">
  <dimension ref="A2:H28"/>
  <sheetViews>
    <sheetView tabSelected="1" workbookViewId="0">
      <selection activeCell="G9" sqref="G9"/>
    </sheetView>
  </sheetViews>
  <sheetFormatPr baseColWidth="10" defaultRowHeight="14.4" x14ac:dyDescent="0.3"/>
  <cols>
    <col min="1" max="1" width="19.5546875" bestFit="1" customWidth="1"/>
    <col min="2" max="2" width="23.77734375" bestFit="1" customWidth="1"/>
    <col min="5" max="5" width="23" customWidth="1"/>
    <col min="7" max="8" width="17.5546875" customWidth="1"/>
  </cols>
  <sheetData>
    <row r="2" spans="1:8" x14ac:dyDescent="0.3">
      <c r="G2" t="s">
        <v>159</v>
      </c>
      <c r="H2" t="s">
        <v>160</v>
      </c>
    </row>
    <row r="3" spans="1:8" x14ac:dyDescent="0.3">
      <c r="A3" s="9" t="s">
        <v>156</v>
      </c>
      <c r="B3" t="s">
        <v>158</v>
      </c>
      <c r="D3" s="12" t="s">
        <v>156</v>
      </c>
      <c r="E3" s="12" t="s">
        <v>158</v>
      </c>
      <c r="G3">
        <f>LARGE($E$4:$E$27,1)</f>
        <v>43</v>
      </c>
      <c r="H3">
        <f>SMALL($E$4:$E$27,1)</f>
        <v>1</v>
      </c>
    </row>
    <row r="4" spans="1:8" x14ac:dyDescent="0.3">
      <c r="A4" s="10">
        <v>44549</v>
      </c>
      <c r="B4" s="11">
        <v>43</v>
      </c>
      <c r="D4" s="10">
        <v>44549</v>
      </c>
      <c r="E4" s="11">
        <v>43</v>
      </c>
      <c r="G4" t="s">
        <v>162</v>
      </c>
      <c r="H4" t="s">
        <v>161</v>
      </c>
    </row>
    <row r="5" spans="1:8" x14ac:dyDescent="0.3">
      <c r="A5" s="10">
        <v>44548</v>
      </c>
      <c r="B5" s="11">
        <v>19</v>
      </c>
      <c r="D5" s="10">
        <v>44548</v>
      </c>
      <c r="E5" s="11">
        <v>19</v>
      </c>
      <c r="G5" cm="1">
        <f t="array" ref="G5:G9">LARGE($E$4:$E$27,ROW($1:5))</f>
        <v>43</v>
      </c>
      <c r="H5" cm="1">
        <f t="array" ref="H5:H10">SMALL($E$4:$E27, ROW($1:6))</f>
        <v>1</v>
      </c>
    </row>
    <row r="6" spans="1:8" x14ac:dyDescent="0.3">
      <c r="A6" s="10">
        <v>44550</v>
      </c>
      <c r="B6" s="11">
        <v>13</v>
      </c>
      <c r="D6" s="10">
        <v>44550</v>
      </c>
      <c r="E6" s="11">
        <v>13</v>
      </c>
      <c r="G6">
        <v>19</v>
      </c>
      <c r="H6">
        <v>3</v>
      </c>
    </row>
    <row r="7" spans="1:8" x14ac:dyDescent="0.3">
      <c r="A7" s="10">
        <v>44542</v>
      </c>
      <c r="B7" s="11">
        <v>12</v>
      </c>
      <c r="D7" s="10">
        <v>44542</v>
      </c>
      <c r="E7" s="11">
        <v>12</v>
      </c>
      <c r="G7">
        <v>13</v>
      </c>
      <c r="H7">
        <v>3</v>
      </c>
    </row>
    <row r="8" spans="1:8" x14ac:dyDescent="0.3">
      <c r="A8" s="10">
        <v>44538</v>
      </c>
      <c r="B8" s="11">
        <v>11</v>
      </c>
      <c r="D8" s="10">
        <v>44538</v>
      </c>
      <c r="E8" s="11">
        <v>11</v>
      </c>
      <c r="G8">
        <v>12</v>
      </c>
      <c r="H8">
        <v>3</v>
      </c>
    </row>
    <row r="9" spans="1:8" x14ac:dyDescent="0.3">
      <c r="A9" s="10">
        <v>44535</v>
      </c>
      <c r="B9" s="11">
        <v>10</v>
      </c>
      <c r="D9" s="10">
        <v>44535</v>
      </c>
      <c r="E9" s="11">
        <v>10</v>
      </c>
      <c r="G9">
        <v>11</v>
      </c>
      <c r="H9">
        <v>4</v>
      </c>
    </row>
    <row r="10" spans="1:8" x14ac:dyDescent="0.3">
      <c r="A10" s="10">
        <v>44552</v>
      </c>
      <c r="B10" s="11">
        <v>10</v>
      </c>
      <c r="D10" s="10">
        <v>44552</v>
      </c>
      <c r="E10" s="11">
        <v>10</v>
      </c>
      <c r="H10">
        <v>4</v>
      </c>
    </row>
    <row r="11" spans="1:8" x14ac:dyDescent="0.3">
      <c r="A11" s="10">
        <v>44541</v>
      </c>
      <c r="B11" s="11">
        <v>8</v>
      </c>
      <c r="D11" s="10">
        <v>44541</v>
      </c>
      <c r="E11" s="11">
        <v>8</v>
      </c>
    </row>
    <row r="12" spans="1:8" x14ac:dyDescent="0.3">
      <c r="A12" s="10">
        <v>44540</v>
      </c>
      <c r="B12" s="11">
        <v>8</v>
      </c>
      <c r="D12" s="10">
        <v>44540</v>
      </c>
      <c r="E12" s="11">
        <v>8</v>
      </c>
    </row>
    <row r="13" spans="1:8" x14ac:dyDescent="0.3">
      <c r="A13" s="10">
        <v>44537</v>
      </c>
      <c r="B13" s="11">
        <v>6</v>
      </c>
      <c r="D13" s="10">
        <v>44537</v>
      </c>
      <c r="E13" s="11">
        <v>6</v>
      </c>
    </row>
    <row r="14" spans="1:8" x14ac:dyDescent="0.3">
      <c r="A14" s="10">
        <v>44536</v>
      </c>
      <c r="B14" s="11">
        <v>6</v>
      </c>
      <c r="D14" s="10">
        <v>44536</v>
      </c>
      <c r="E14" s="11">
        <v>6</v>
      </c>
    </row>
    <row r="15" spans="1:8" x14ac:dyDescent="0.3">
      <c r="A15" s="10">
        <v>44543</v>
      </c>
      <c r="B15" s="11">
        <v>6</v>
      </c>
      <c r="D15" s="10">
        <v>44543</v>
      </c>
      <c r="E15" s="11">
        <v>6</v>
      </c>
    </row>
    <row r="16" spans="1:8" x14ac:dyDescent="0.3">
      <c r="A16" s="10">
        <v>44551</v>
      </c>
      <c r="B16" s="11">
        <v>5</v>
      </c>
      <c r="D16" s="10">
        <v>44551</v>
      </c>
      <c r="E16" s="11">
        <v>5</v>
      </c>
    </row>
    <row r="17" spans="1:5" x14ac:dyDescent="0.3">
      <c r="A17" s="10">
        <v>44531</v>
      </c>
      <c r="B17" s="11">
        <v>5</v>
      </c>
      <c r="D17" s="10">
        <v>44531</v>
      </c>
      <c r="E17" s="11">
        <v>5</v>
      </c>
    </row>
    <row r="18" spans="1:5" x14ac:dyDescent="0.3">
      <c r="A18" s="10">
        <v>44546</v>
      </c>
      <c r="B18" s="11">
        <v>5</v>
      </c>
      <c r="D18" s="10">
        <v>44546</v>
      </c>
      <c r="E18" s="11">
        <v>5</v>
      </c>
    </row>
    <row r="19" spans="1:5" x14ac:dyDescent="0.3">
      <c r="A19" s="10">
        <v>44534</v>
      </c>
      <c r="B19" s="11">
        <v>4</v>
      </c>
      <c r="D19" s="10">
        <v>44534</v>
      </c>
      <c r="E19" s="11">
        <v>4</v>
      </c>
    </row>
    <row r="20" spans="1:5" x14ac:dyDescent="0.3">
      <c r="A20" s="10">
        <v>44554</v>
      </c>
      <c r="B20" s="11">
        <v>4</v>
      </c>
      <c r="D20" s="10">
        <v>44554</v>
      </c>
      <c r="E20" s="11">
        <v>4</v>
      </c>
    </row>
    <row r="21" spans="1:5" x14ac:dyDescent="0.3">
      <c r="A21" s="10">
        <v>44547</v>
      </c>
      <c r="B21" s="11">
        <v>4</v>
      </c>
      <c r="D21" s="10">
        <v>44547</v>
      </c>
      <c r="E21" s="11">
        <v>4</v>
      </c>
    </row>
    <row r="22" spans="1:5" x14ac:dyDescent="0.3">
      <c r="A22" s="10">
        <v>44533</v>
      </c>
      <c r="B22" s="11">
        <v>4</v>
      </c>
      <c r="D22" s="10">
        <v>44533</v>
      </c>
      <c r="E22" s="11">
        <v>4</v>
      </c>
    </row>
    <row r="23" spans="1:5" x14ac:dyDescent="0.3">
      <c r="A23" s="10">
        <v>44544</v>
      </c>
      <c r="B23" s="11">
        <v>4</v>
      </c>
      <c r="D23" s="10">
        <v>44544</v>
      </c>
      <c r="E23" s="11">
        <v>4</v>
      </c>
    </row>
    <row r="24" spans="1:5" x14ac:dyDescent="0.3">
      <c r="A24" s="10">
        <v>44532</v>
      </c>
      <c r="B24" s="11">
        <v>3</v>
      </c>
      <c r="D24" s="10">
        <v>44532</v>
      </c>
      <c r="E24" s="11">
        <v>3</v>
      </c>
    </row>
    <row r="25" spans="1:5" x14ac:dyDescent="0.3">
      <c r="A25" s="10">
        <v>44553</v>
      </c>
      <c r="B25" s="11">
        <v>3</v>
      </c>
      <c r="D25" s="10">
        <v>44553</v>
      </c>
      <c r="E25" s="11">
        <v>3</v>
      </c>
    </row>
    <row r="26" spans="1:5" x14ac:dyDescent="0.3">
      <c r="A26" s="10">
        <v>44539</v>
      </c>
      <c r="B26" s="11">
        <v>3</v>
      </c>
      <c r="D26" s="10">
        <v>44539</v>
      </c>
      <c r="E26" s="11">
        <v>3</v>
      </c>
    </row>
    <row r="27" spans="1:5" x14ac:dyDescent="0.3">
      <c r="A27" s="10">
        <v>44545</v>
      </c>
      <c r="B27" s="11">
        <v>1</v>
      </c>
      <c r="D27" s="10">
        <v>44545</v>
      </c>
      <c r="E27" s="11">
        <v>1</v>
      </c>
    </row>
    <row r="28" spans="1:5" x14ac:dyDescent="0.3">
      <c r="A28" s="10" t="s">
        <v>157</v>
      </c>
      <c r="B28" s="11">
        <v>197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G60" workbookViewId="0">
      <selection activeCell="T53" sqref="T53"/>
    </sheetView>
  </sheetViews>
  <sheetFormatPr baseColWidth="10" defaultColWidth="8.88671875"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5" max="15" width="10.44140625" bestFit="1" customWidth="1"/>
    <col min="16" max="16" width="11" bestFit="1" customWidth="1"/>
    <col min="17" max="17" width="9.88671875" bestFit="1" customWidth="1"/>
    <col min="18" max="18" width="11.4414062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 x14ac:dyDescent="0.3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conditionalFormatting sqref="N1:N1048576">
    <cfRule type="top10" dxfId="0" priority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Azur Kévin</cp:lastModifiedBy>
  <cp:revision/>
  <dcterms:created xsi:type="dcterms:W3CDTF">2022-11-04T20:14:11Z</dcterms:created>
  <dcterms:modified xsi:type="dcterms:W3CDTF">2026-08-17T20:43:05Z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